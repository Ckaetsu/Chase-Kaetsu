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Legend-Key" sheetId="2" state="visible" r:id="rId4"/>
    <sheet name="Inputs" sheetId="3" state="visible" r:id="rId5"/>
    <sheet name="Forward" sheetId="4" state="visible" r:id="rId6"/>
    <sheet name="Money Market" sheetId="5" state="visible" r:id="rId7"/>
    <sheet name="Options" sheetId="6" state="visible" r:id="rId8"/>
    <sheet name="Sensitivity" sheetId="7" state="visible" r:id="rId9"/>
    <sheet name="Notes-Assumptions" sheetId="8" state="visible" r:id="rId10"/>
  </sheets>
  <definedNames>
    <definedName function="false" hidden="false" name="Borrow_FC" vbProcedure="false">'Money Market'!$D$5</definedName>
    <definedName function="false" hidden="false" name="F0_in" vbProcedure="false">Inputs!$C$7</definedName>
    <definedName function="false" hidden="false" name="FC_AMT" vbProcedure="false">Inputs!$C$5</definedName>
    <definedName function="false" hidden="false" name="F_implied" vbProcedure="false">'Money Market'!$D$12</definedName>
    <definedName function="false" hidden="false" name="K_CALL" vbProcedure="false">Inputs!$C$11</definedName>
    <definedName function="false" hidden="false" name="K_PUT" vbProcedure="false">Inputs!$C$10</definedName>
    <definedName function="false" hidden="false" name="Parity_Check_Result" vbProcedure="false">'Money Market'!$D$14</definedName>
    <definedName function="false" hidden="false" name="PREM_CALL" vbProcedure="false">Inputs!$C$13</definedName>
    <definedName function="false" hidden="false" name="PREM_PUT" vbProcedure="false">Inputs!$C$12</definedName>
    <definedName function="false" hidden="false" name="Proceeds_Forward" vbProcedure="false">Forward!$C$6</definedName>
    <definedName function="false" hidden="false" name="Proceeds_MM" vbProcedure="false">'Money Market'!$D$7</definedName>
    <definedName function="false" hidden="false" name="R_FC" vbProcedure="false">Inputs!$C$9</definedName>
    <definedName function="false" hidden="false" name="R_USD" vbProcedure="false">Inputs!$C$8</definedName>
    <definedName function="false" hidden="false" name="S0_in" vbProcedure="false">Inputs!$C$6</definedName>
    <definedName function="false" hidden="false" name="T_DAYS" vbProcedure="false">Inputs!$C$14</definedName>
    <definedName function="false" hidden="false" name="USD_Now" vbProcedure="false">'Money Market'!$D$6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<sst xmlns="http://schemas.openxmlformats.org/spreadsheetml/2006/main" count="152" uniqueCount="123">
  <si>
    <t xml:space="preserve">FX Hedging Model — EUR 4,500,000 Receivable</t>
  </si>
  <si>
    <t xml:space="preserve">Scenario</t>
  </si>
  <si>
    <t xml:space="preserve">Firm holds a EUR 4,500,000 receivable settling in 365 days. Exposure: adverse EURUSD move reduces USD proceeds.</t>
  </si>
  <si>
    <t xml:space="preserve">Author</t>
  </si>
  <si>
    <t xml:space="preserve">Chase Kaetsu</t>
  </si>
  <si>
    <t xml:space="preserve">Date Prepared</t>
  </si>
  <si>
    <t xml:space="preserve">2026-08-08</t>
  </si>
  <si>
    <t xml:space="preserve">Course</t>
  </si>
  <si>
    <t xml:space="preserve">FIN 321 — International Business Finance</t>
  </si>
  <si>
    <t xml:space="preserve">Data Provenance</t>
  </si>
  <si>
    <t xml:space="preserve">FC_AMT</t>
  </si>
  <si>
    <t xml:space="preserve">Confirmed contract amount — fixed, not market-sourced</t>
  </si>
  <si>
    <t xml:space="preserve">S0_in</t>
  </si>
  <si>
    <t xml:space="preserve">Indicative — placeholder; live spot from a market data provider (e.g. OANDA, Bloomberg) at Stage 4</t>
  </si>
  <si>
    <t xml:space="preserve">F0_in</t>
  </si>
  <si>
    <t xml:space="preserve">Indicative — placeholder; quoted 1-year forward rate at Stage 4</t>
  </si>
  <si>
    <t xml:space="preserve">R_USD</t>
  </si>
  <si>
    <t xml:space="preserve">Indicative — placeholder; Federal Reserve H.15 release (1-year rate) at Stage 4</t>
  </si>
  <si>
    <t xml:space="preserve">R_FC</t>
  </si>
  <si>
    <t xml:space="preserve">Indicative — placeholder; ECB deposit facility rate at Stage 4</t>
  </si>
  <si>
    <t xml:space="preserve">K_PUT / K_CALL</t>
  </si>
  <si>
    <t xml:space="preserve">Indicative — set at-the-money to spot; refined against live option quotes at Stage 4</t>
  </si>
  <si>
    <t xml:space="preserve">PREM_PUT / PREM_CALL</t>
  </si>
  <si>
    <t xml:space="preserve">Indicative — placeholder; quoted option premiums at Stage 4</t>
  </si>
  <si>
    <t xml:space="preserve">T_DAYS</t>
  </si>
  <si>
    <t xml:space="preserve">Fixed by contract settlement date — not market-sourced</t>
  </si>
  <si>
    <t xml:space="preserve">Legend / Key</t>
  </si>
  <si>
    <t xml:space="preserve">Color</t>
  </si>
  <si>
    <t xml:space="preserve">Meaning</t>
  </si>
  <si>
    <t xml:space="preserve">Inputs — placeholder values entered on the Inputs tab</t>
  </si>
  <si>
    <t xml:space="preserve">Assumptions — fixed conventions (rate basis, treatment rules)</t>
  </si>
  <si>
    <t xml:space="preserve">Formulas — calculated cells referencing named ranges</t>
  </si>
  <si>
    <t xml:space="preserve">Outputs — final summary results for the CFO</t>
  </si>
  <si>
    <t xml:space="preserve">Named-Range Glossary</t>
  </si>
  <si>
    <t xml:space="preserve">Name</t>
  </si>
  <si>
    <t xml:space="preserve">Description</t>
  </si>
  <si>
    <t xml:space="preserve">Foreign-currency receivable amount (EUR)</t>
  </si>
  <si>
    <t xml:space="preserve">Spot rate at inception (USD per EUR)</t>
  </si>
  <si>
    <t xml:space="preserve">Forward rate (USD per EUR)</t>
  </si>
  <si>
    <t xml:space="preserve">USD interest rate (annual %)</t>
  </si>
  <si>
    <t xml:space="preserve">Foreign-currency interest rate (annual %)</t>
  </si>
  <si>
    <t xml:space="preserve">K_PUT</t>
  </si>
  <si>
    <t xml:space="preserve">Put option strike (USD per EUR)</t>
  </si>
  <si>
    <t xml:space="preserve">K_CALL</t>
  </si>
  <si>
    <t xml:space="preserve">Call option strike (USD per EUR)</t>
  </si>
  <si>
    <t xml:space="preserve">PREM_PUT</t>
  </si>
  <si>
    <t xml:space="preserve">Put premium per unit of FC (USD)</t>
  </si>
  <si>
    <t xml:space="preserve">PREM_CALL</t>
  </si>
  <si>
    <t xml:space="preserve">Call premium per unit of FC (USD)</t>
  </si>
  <si>
    <t xml:space="preserve">Days to settlement</t>
  </si>
  <si>
    <t xml:space="preserve">Inputs — Named-Range Contract</t>
  </si>
  <si>
    <t xml:space="preserve">Named Range</t>
  </si>
  <si>
    <t xml:space="preserve">Value</t>
  </si>
  <si>
    <t xml:space="preserve">Unit</t>
  </si>
  <si>
    <t xml:space="preserve">Stage-4 Data Source</t>
  </si>
  <si>
    <t xml:space="preserve">EUR</t>
  </si>
  <si>
    <t xml:space="preserve">Confirmed contract amount (fixed, not market-sourced)</t>
  </si>
  <si>
    <t xml:space="preserve">USD per EUR</t>
  </si>
  <si>
    <t xml:space="preserve">LIVE — Bloomberg EURUSD quote, 1.1561, as of 2:23 PM EDT 08/07/2026 (bloomberg.com/quote/EURUSD:CUR)</t>
  </si>
  <si>
    <t xml:space="preserve">LIVE (CIP-implied, recomputed) — no live 1-year forward quote found; F0 = S0_in*(1+R_USD*T/360)/(1+R_FC*T/360) using the corrected tenor-matched R_FC</t>
  </si>
  <si>
    <t xml:space="preserve">Annual % (ACT/360)</t>
  </si>
  <si>
    <t xml:space="preserve">LIVE — 1-Year Treasury yield, 4.06%, Treasury.gov Daily Par Yield Curve Rates as of 2026-08-06 (via slickcharts.com/treasury)</t>
  </si>
  <si>
    <t xml:space="preserve">LIVE (CORRECTED) — Eurostat/ECB euro area 1-year yield curve, 2.01%, Dec 2025 reading (most recent published; tenor-matched to T_DAYS=365, replacing the overnight ECB deposit facility rate used in the initial Stage 4 pull per Treasury review)</t>
  </si>
  <si>
    <t xml:space="preserve">LIVE — set at-the-money to live spot (S0_in = 1.1561), per scenario convention</t>
  </si>
  <si>
    <t xml:space="preserve">USD per unit FC</t>
  </si>
  <si>
    <t xml:space="preserve">ASSUMPTION — kept at scenario-given value; retail-accessible EUR option premium quotes are unreliable for this exercise</t>
  </si>
  <si>
    <t xml:space="preserve">Days</t>
  </si>
  <si>
    <t xml:space="preserve">Fixed by contract settlement date, not market-sourced</t>
  </si>
  <si>
    <t xml:space="preserve">All rate- and price-based inputs above are flagged indicative — replaced with live market data at Stage 4.</t>
  </si>
  <si>
    <t xml:space="preserve">Forward Hedge</t>
  </si>
  <si>
    <t xml:space="preserve">Lock in today's forward rate for delivery of FC_AMT at settlement.</t>
  </si>
  <si>
    <t xml:space="preserve">Proceeds_Forward</t>
  </si>
  <si>
    <t xml:space="preserve">Money-Market Hedge</t>
  </si>
  <si>
    <t xml:space="preserve">Step</t>
  </si>
  <si>
    <t xml:space="preserve">Step 1</t>
  </si>
  <si>
    <t xml:space="preserve">Borrow FC today: FC_AMT / (1 + R_FC × T_DAYS/360)</t>
  </si>
  <si>
    <t xml:space="preserve">Step 2</t>
  </si>
  <si>
    <t xml:space="preserve">Convert at spot: Borrow_FC × S0_in</t>
  </si>
  <si>
    <t xml:space="preserve">Step 3</t>
  </si>
  <si>
    <t xml:space="preserve">Invest USD to settlement: USD_Now × (1 + R_USD × T_DAYS/360)</t>
  </si>
  <si>
    <t xml:space="preserve">Proceeds_MM</t>
  </si>
  <si>
    <t xml:space="preserve">Parity Check</t>
  </si>
  <si>
    <t xml:space="preserve">F_implied</t>
  </si>
  <si>
    <t xml:space="preserve">F0_in (spec)</t>
  </si>
  <si>
    <t xml:space="preserve">Parity_Check_Result</t>
  </si>
  <si>
    <t xml:space="preserve">Option Hedges (Put Floor / Call Participation)</t>
  </si>
  <si>
    <t xml:space="preserve">S_T (settlement spot)</t>
  </si>
  <si>
    <t xml:space="preserve">Proceeds_Put</t>
  </si>
  <si>
    <t xml:space="preserve">Proceeds_Call</t>
  </si>
  <si>
    <t xml:space="preserve">Put: below K_PUT the floor holds and the put pays the difference; above K_PUT it expires worthless, net of premium paid.</t>
  </si>
  <si>
    <t xml:space="preserve">Sensitivity Analysis (±5% of S0_in, 1% steps)</t>
  </si>
  <si>
    <t xml:space="preserve">% Change</t>
  </si>
  <si>
    <t xml:space="preserve">S_T</t>
  </si>
  <si>
    <t xml:space="preserve">Notes &amp; Assumptions</t>
  </si>
  <si>
    <t xml:space="preserve">Rate basis</t>
  </si>
  <si>
    <t xml:space="preserve">All interest calculations use ACT/360 day-count convention.</t>
  </si>
  <si>
    <t xml:space="preserve">Transaction costs</t>
  </si>
  <si>
    <t xml:space="preserve">No transaction costs or bid-ask spreads modeled at this stage; all rates treated as executable mid-market rates.</t>
  </si>
  <si>
    <t xml:space="preserve">Parity expectation</t>
  </si>
  <si>
    <t xml:space="preserve">Forward rate (F0_in) and money-market hedge are expected to produce approximately equal USD proceeds per covered interest rate parity. A gap beyond rounding indicates a formula error.</t>
  </si>
  <si>
    <t xml:space="preserve">Premium treatment</t>
  </si>
  <si>
    <t xml:space="preserve">Option premiums (PREM_PUT, PREM_CALL) are paid upfront, not discounted or financed; they reduce net proceeds dollar-for-dollar regardless of outcome.</t>
  </si>
  <si>
    <t xml:space="preserve">Validation Checks (spec §7)</t>
  </si>
  <si>
    <t xml:space="preserve">Check</t>
  </si>
  <si>
    <t xml:space="preserve">Rule</t>
  </si>
  <si>
    <t xml:space="preserve">Result</t>
  </si>
  <si>
    <t xml:space="preserve">Parity check</t>
  </si>
  <si>
    <t xml:space="preserve">|F_implied − F0_in| ≤ $0.001</t>
  </si>
  <si>
    <t xml:space="preserve">Forward proceeds constant</t>
  </si>
  <si>
    <t xml:space="preserve">Proceeds_Forward does not vary with S_T</t>
  </si>
  <si>
    <t xml:space="preserve">See Sensitivity tab column D</t>
  </si>
  <si>
    <t xml:space="preserve">Continuity at strike</t>
  </si>
  <si>
    <t xml:space="preserve">Proceeds_Put transitions smoothly through S_T = K_PUT</t>
  </si>
  <si>
    <t xml:space="preserve">Verified: MAX() formula has no discontinuity</t>
  </si>
  <si>
    <t xml:space="preserve">Put floor holds</t>
  </si>
  <si>
    <t xml:space="preserve">Proceeds_Put ≥ FC_AMT×K_PUT − FC_AMT×PREM_PUT at every S_T</t>
  </si>
  <si>
    <t xml:space="preserve">See Options / Sensitivity tabs</t>
  </si>
  <si>
    <t xml:space="preserve">No error cells</t>
  </si>
  <si>
    <t xml:space="preserve">No REF, DIV by zero, or N/A errors anywhere in workbook</t>
  </si>
  <si>
    <t xml:space="preserve">Confirmed via recalculation</t>
  </si>
  <si>
    <t xml:space="preserve">Every output is a formula</t>
  </si>
  <si>
    <t xml:space="preserve">No pasted values in calculated cells</t>
  </si>
  <si>
    <t xml:space="preserve">Confirmed by construction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</si>
</sst>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00"/>
    <numFmt numFmtId="167" formatCode="0.00%"/>
    <numFmt numFmtId="168" formatCode="0"/>
    <numFmt numFmtId="169" formatCode="\$#,##0"/>
    <numFmt numFmtId="170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ADD8E6"/>
        <bgColor rgb="FFC6EFCE"/>
      </patternFill>
    </fill>
    <fill>
      <patternFill patternType="solid">
        <fgColor rgb="FFC6EFCE"/>
        <bgColor rgb="FFD9D9D9"/>
      </patternFill>
    </fill>
    <fill>
      <patternFill patternType="solid">
        <fgColor rgb="FFD9D9D9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ADD8E6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4A7EBB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Proceeds by Strategy vs. Settlement Spot (S_T)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Sensitivity!D4</c:f>
              <c:strCache>
                <c:ptCount val="1"/>
                <c:pt idx="0">
                  <c:v>Proceeds_Forward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Sensitivity!$B$5:$B$15</c:f>
              <c:strCache>
                <c:ptCount val="11"/>
                <c:pt idx="0">
                  <c:v>-5%</c:v>
                </c:pt>
                <c:pt idx="1">
                  <c:v>-4%</c:v>
                </c:pt>
                <c:pt idx="2">
                  <c:v>-3%</c:v>
                </c:pt>
                <c:pt idx="3">
                  <c:v>-2%</c:v>
                </c:pt>
                <c:pt idx="4">
                  <c:v>-1%</c:v>
                </c:pt>
                <c:pt idx="5">
                  <c:v>0%</c:v>
                </c:pt>
                <c:pt idx="6">
                  <c:v>1%</c:v>
                </c:pt>
                <c:pt idx="7">
                  <c:v>2%</c:v>
                </c:pt>
                <c:pt idx="8">
                  <c:v>3%</c:v>
                </c:pt>
                <c:pt idx="9">
                  <c:v>4%</c:v>
                </c:pt>
                <c:pt idx="10">
                  <c:v>5%</c:v>
                </c:pt>
              </c:strCache>
            </c:strRef>
          </c:cat>
          <c:val>
            <c:numRef>
              <c:f>Sensitivity!$D$5:$D$15</c:f>
              <c:numCache>
                <c:formatCode>\$#,##0</c:formatCode>
                <c:ptCount val="11"/>
                <c:pt idx="0">
                  <c:v>5308200</c:v>
                </c:pt>
                <c:pt idx="1">
                  <c:v>5308200</c:v>
                </c:pt>
                <c:pt idx="2">
                  <c:v>5308200</c:v>
                </c:pt>
                <c:pt idx="3">
                  <c:v>5308200</c:v>
                </c:pt>
                <c:pt idx="4">
                  <c:v>5308200</c:v>
                </c:pt>
                <c:pt idx="5">
                  <c:v>5308200</c:v>
                </c:pt>
                <c:pt idx="6">
                  <c:v>5308200</c:v>
                </c:pt>
                <c:pt idx="7">
                  <c:v>5308200</c:v>
                </c:pt>
                <c:pt idx="8">
                  <c:v>5308200</c:v>
                </c:pt>
                <c:pt idx="9">
                  <c:v>5308200</c:v>
                </c:pt>
                <c:pt idx="10">
                  <c:v>5308200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Sensitivity!E4</c:f>
              <c:strCache>
                <c:ptCount val="1"/>
                <c:pt idx="0">
                  <c:v>Proceeds_MM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Sensitivity!$B$5:$B$15</c:f>
              <c:strCache>
                <c:ptCount val="11"/>
                <c:pt idx="0">
                  <c:v>-5%</c:v>
                </c:pt>
                <c:pt idx="1">
                  <c:v>-4%</c:v>
                </c:pt>
                <c:pt idx="2">
                  <c:v>-3%</c:v>
                </c:pt>
                <c:pt idx="3">
                  <c:v>-2%</c:v>
                </c:pt>
                <c:pt idx="4">
                  <c:v>-1%</c:v>
                </c:pt>
                <c:pt idx="5">
                  <c:v>0%</c:v>
                </c:pt>
                <c:pt idx="6">
                  <c:v>1%</c:v>
                </c:pt>
                <c:pt idx="7">
                  <c:v>2%</c:v>
                </c:pt>
                <c:pt idx="8">
                  <c:v>3%</c:v>
                </c:pt>
                <c:pt idx="9">
                  <c:v>4%</c:v>
                </c:pt>
                <c:pt idx="10">
                  <c:v>5%</c:v>
                </c:pt>
              </c:strCache>
            </c:strRef>
          </c:cat>
          <c:val>
            <c:numRef>
              <c:f>Sensitivity!$E$5:$E$15</c:f>
              <c:numCache>
                <c:formatCode>\$#,##0</c:formatCode>
                <c:ptCount val="11"/>
                <c:pt idx="0">
                  <c:v>5308421.85992952</c:v>
                </c:pt>
                <c:pt idx="1">
                  <c:v>5308421.85992952</c:v>
                </c:pt>
                <c:pt idx="2">
                  <c:v>5308421.85992952</c:v>
                </c:pt>
                <c:pt idx="3">
                  <c:v>5308421.85992952</c:v>
                </c:pt>
                <c:pt idx="4">
                  <c:v>5308421.85992952</c:v>
                </c:pt>
                <c:pt idx="5">
                  <c:v>5308421.85992952</c:v>
                </c:pt>
                <c:pt idx="6">
                  <c:v>5308421.85992952</c:v>
                </c:pt>
                <c:pt idx="7">
                  <c:v>5308421.85992952</c:v>
                </c:pt>
                <c:pt idx="8">
                  <c:v>5308421.85992952</c:v>
                </c:pt>
                <c:pt idx="9">
                  <c:v>5308421.85992952</c:v>
                </c:pt>
                <c:pt idx="10">
                  <c:v>5308421.85992952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Sensitivity!F4</c:f>
              <c:strCache>
                <c:ptCount val="1"/>
                <c:pt idx="0">
                  <c:v>Proceeds_Put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Sensitivity!$B$5:$B$15</c:f>
              <c:strCache>
                <c:ptCount val="11"/>
                <c:pt idx="0">
                  <c:v>-5%</c:v>
                </c:pt>
                <c:pt idx="1">
                  <c:v>-4%</c:v>
                </c:pt>
                <c:pt idx="2">
                  <c:v>-3%</c:v>
                </c:pt>
                <c:pt idx="3">
                  <c:v>-2%</c:v>
                </c:pt>
                <c:pt idx="4">
                  <c:v>-1%</c:v>
                </c:pt>
                <c:pt idx="5">
                  <c:v>0%</c:v>
                </c:pt>
                <c:pt idx="6">
                  <c:v>1%</c:v>
                </c:pt>
                <c:pt idx="7">
                  <c:v>2%</c:v>
                </c:pt>
                <c:pt idx="8">
                  <c:v>3%</c:v>
                </c:pt>
                <c:pt idx="9">
                  <c:v>4%</c:v>
                </c:pt>
                <c:pt idx="10">
                  <c:v>5%</c:v>
                </c:pt>
              </c:strCache>
            </c:strRef>
          </c:cat>
          <c:val>
            <c:numRef>
              <c:f>Sensitivity!$F$5:$F$15</c:f>
              <c:numCache>
                <c:formatCode>\$#,##0</c:formatCode>
                <c:ptCount val="11"/>
                <c:pt idx="0">
                  <c:v>5089950</c:v>
                </c:pt>
                <c:pt idx="1">
                  <c:v>5089950</c:v>
                </c:pt>
                <c:pt idx="2">
                  <c:v>5089950</c:v>
                </c:pt>
                <c:pt idx="3">
                  <c:v>5089950</c:v>
                </c:pt>
                <c:pt idx="4">
                  <c:v>5089950</c:v>
                </c:pt>
                <c:pt idx="5">
                  <c:v>5089950</c:v>
                </c:pt>
                <c:pt idx="6">
                  <c:v>5141974.5</c:v>
                </c:pt>
                <c:pt idx="7">
                  <c:v>5193999</c:v>
                </c:pt>
                <c:pt idx="8">
                  <c:v>5246023.5</c:v>
                </c:pt>
                <c:pt idx="9">
                  <c:v>5298048</c:v>
                </c:pt>
                <c:pt idx="10">
                  <c:v>5350072.5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6867198"/>
        <c:axId val="13983496"/>
      </c:lineChart>
      <c:catAx>
        <c:axId val="568671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Change in Spot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983496"/>
        <c:crosses val="autoZero"/>
        <c:auto val="1"/>
        <c:lblAlgn val="ctr"/>
        <c:lblOffset val="100"/>
        <c:noMultiLvlLbl val="0"/>
      </c:catAx>
      <c:valAx>
        <c:axId val="139834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Proceeds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8671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131040</xdr:rowOff>
    </xdr:from>
    <xdr:to>
      <xdr:col>17</xdr:col>
      <xdr:colOff>363960</xdr:colOff>
      <xdr:row>18</xdr:row>
      <xdr:rowOff>171360</xdr:rowOff>
    </xdr:to>
    <xdr:graphicFrame>
      <xdr:nvGraphicFramePr>
        <xdr:cNvPr id="0" name="Chart 1"/>
        <xdr:cNvGraphicFramePr/>
      </xdr:nvGraphicFramePr>
      <xdr:xfrm>
        <a:off x="5968440" y="569160"/>
        <a:ext cx="6478920" cy="323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3" min="3" style="1" width="80"/>
  </cols>
  <sheetData>
    <row r="2" customFormat="false" ht="19.5" hidden="false" customHeight="true" outlineLevel="0" collapsed="false">
      <c r="B2" s="2" t="s">
        <v>0</v>
      </c>
    </row>
    <row r="4" customFormat="false" ht="26.2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5" t="s">
        <v>4</v>
      </c>
    </row>
    <row r="6" customFormat="false" ht="15" hidden="false" customHeight="true" outlineLevel="0" collapsed="false">
      <c r="B6" s="3" t="s">
        <v>5</v>
      </c>
      <c r="C6" s="5" t="s">
        <v>6</v>
      </c>
    </row>
    <row r="7" customFormat="false" ht="15" hidden="false" customHeight="true" outlineLevel="0" collapsed="false">
      <c r="B7" s="3" t="s">
        <v>7</v>
      </c>
      <c r="C7" s="5" t="s">
        <v>8</v>
      </c>
    </row>
    <row r="9" customFormat="false" ht="15" hidden="false" customHeight="true" outlineLevel="0" collapsed="false">
      <c r="B9" s="6" t="s">
        <v>9</v>
      </c>
    </row>
    <row r="10" customFormat="false" ht="15" hidden="false" customHeight="true" outlineLevel="0" collapsed="false">
      <c r="B10" s="3" t="s">
        <v>10</v>
      </c>
      <c r="C10" s="4" t="s">
        <v>11</v>
      </c>
    </row>
    <row r="11" customFormat="false" ht="26.25" hidden="false" customHeight="true" outlineLevel="0" collapsed="false">
      <c r="B11" s="3" t="s">
        <v>12</v>
      </c>
      <c r="C11" s="4" t="s">
        <v>13</v>
      </c>
    </row>
    <row r="12" customFormat="false" ht="15" hidden="false" customHeight="true" outlineLevel="0" collapsed="false">
      <c r="B12" s="3" t="s">
        <v>14</v>
      </c>
      <c r="C12" s="4" t="s">
        <v>15</v>
      </c>
    </row>
    <row r="13" customFormat="false" ht="15" hidden="false" customHeight="true" outlineLevel="0" collapsed="false">
      <c r="B13" s="3" t="s">
        <v>16</v>
      </c>
      <c r="C13" s="4" t="s">
        <v>17</v>
      </c>
    </row>
    <row r="14" customFormat="false" ht="15" hidden="false" customHeight="true" outlineLevel="0" collapsed="false">
      <c r="B14" s="3" t="s">
        <v>18</v>
      </c>
      <c r="C14" s="4" t="s">
        <v>19</v>
      </c>
    </row>
    <row r="15" customFormat="false" ht="15" hidden="false" customHeight="true" outlineLevel="0" collapsed="false">
      <c r="B15" s="3" t="s">
        <v>20</v>
      </c>
      <c r="C15" s="4" t="s">
        <v>21</v>
      </c>
    </row>
    <row r="16" customFormat="false" ht="15" hidden="false" customHeight="true" outlineLevel="0" collapsed="false">
      <c r="B16" s="3" t="s">
        <v>22</v>
      </c>
      <c r="C16" s="4" t="s">
        <v>23</v>
      </c>
    </row>
    <row r="17" customFormat="false" ht="15" hidden="false" customHeight="true" outlineLevel="0" collapsed="false">
      <c r="B17" s="3" t="s">
        <v>24</v>
      </c>
      <c r="C17" s="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8"/>
    <col collapsed="false" customWidth="true" hidden="false" outlineLevel="0" max="3" min="3" style="1" width="65"/>
  </cols>
  <sheetData>
    <row r="2" customFormat="false" ht="19.5" hidden="false" customHeight="true" outlineLevel="0" collapsed="false">
      <c r="B2" s="2" t="s">
        <v>26</v>
      </c>
    </row>
    <row r="4" customFormat="false" ht="15" hidden="false" customHeight="true" outlineLevel="0" collapsed="false">
      <c r="B4" s="7" t="s">
        <v>27</v>
      </c>
      <c r="C4" s="7" t="s">
        <v>28</v>
      </c>
    </row>
    <row r="5" customFormat="false" ht="15" hidden="false" customHeight="true" outlineLevel="0" collapsed="false">
      <c r="B5" s="8"/>
      <c r="C5" s="9" t="s">
        <v>29</v>
      </c>
    </row>
    <row r="6" customFormat="false" ht="15" hidden="false" customHeight="true" outlineLevel="0" collapsed="false">
      <c r="B6" s="10"/>
      <c r="C6" s="9" t="s">
        <v>30</v>
      </c>
    </row>
    <row r="7" customFormat="false" ht="15" hidden="false" customHeight="true" outlineLevel="0" collapsed="false">
      <c r="B7" s="11"/>
      <c r="C7" s="9" t="s">
        <v>31</v>
      </c>
    </row>
    <row r="8" customFormat="false" ht="15" hidden="false" customHeight="true" outlineLevel="0" collapsed="false">
      <c r="B8" s="12"/>
      <c r="C8" s="9" t="s">
        <v>32</v>
      </c>
    </row>
    <row r="10" customFormat="false" ht="15" hidden="false" customHeight="true" outlineLevel="0" collapsed="false">
      <c r="B10" s="6" t="s">
        <v>33</v>
      </c>
    </row>
    <row r="11" customFormat="false" ht="15" hidden="false" customHeight="true" outlineLevel="0" collapsed="false">
      <c r="B11" s="3" t="s">
        <v>34</v>
      </c>
      <c r="C11" s="3" t="s">
        <v>35</v>
      </c>
    </row>
    <row r="12" customFormat="false" ht="15" hidden="false" customHeight="true" outlineLevel="0" collapsed="false">
      <c r="B12" s="5" t="s">
        <v>10</v>
      </c>
      <c r="C12" s="5" t="s">
        <v>36</v>
      </c>
    </row>
    <row r="13" customFormat="false" ht="15" hidden="false" customHeight="true" outlineLevel="0" collapsed="false">
      <c r="B13" s="5" t="s">
        <v>12</v>
      </c>
      <c r="C13" s="5" t="s">
        <v>37</v>
      </c>
    </row>
    <row r="14" customFormat="false" ht="15" hidden="false" customHeight="true" outlineLevel="0" collapsed="false">
      <c r="B14" s="5" t="s">
        <v>14</v>
      </c>
      <c r="C14" s="5" t="s">
        <v>38</v>
      </c>
    </row>
    <row r="15" customFormat="false" ht="15" hidden="false" customHeight="true" outlineLevel="0" collapsed="false">
      <c r="B15" s="5" t="s">
        <v>16</v>
      </c>
      <c r="C15" s="5" t="s">
        <v>39</v>
      </c>
    </row>
    <row r="16" customFormat="false" ht="15" hidden="false" customHeight="true" outlineLevel="0" collapsed="false">
      <c r="B16" s="5" t="s">
        <v>18</v>
      </c>
      <c r="C16" s="5" t="s">
        <v>40</v>
      </c>
    </row>
    <row r="17" customFormat="false" ht="15" hidden="false" customHeight="true" outlineLevel="0" collapsed="false">
      <c r="B17" s="5" t="s">
        <v>41</v>
      </c>
      <c r="C17" s="5" t="s">
        <v>42</v>
      </c>
    </row>
    <row r="18" customFormat="false" ht="15" hidden="false" customHeight="true" outlineLevel="0" collapsed="false">
      <c r="B18" s="5" t="s">
        <v>43</v>
      </c>
      <c r="C18" s="5" t="s">
        <v>44</v>
      </c>
    </row>
    <row r="19" customFormat="false" ht="15" hidden="false" customHeight="true" outlineLevel="0" collapsed="false">
      <c r="B19" s="5" t="s">
        <v>45</v>
      </c>
      <c r="C19" s="5" t="s">
        <v>46</v>
      </c>
    </row>
    <row r="20" customFormat="false" ht="15" hidden="false" customHeight="true" outlineLevel="0" collapsed="false">
      <c r="B20" s="5" t="s">
        <v>47</v>
      </c>
      <c r="C20" s="5" t="s">
        <v>48</v>
      </c>
    </row>
    <row r="21" customFormat="false" ht="15" hidden="false" customHeight="true" outlineLevel="0" collapsed="false">
      <c r="B21" s="5" t="s">
        <v>24</v>
      </c>
      <c r="C21" s="5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3" min="2" style="1" width="14"/>
    <col collapsed="false" customWidth="true" hidden="false" outlineLevel="0" max="4" min="4" style="1" width="20"/>
    <col collapsed="false" customWidth="true" hidden="false" outlineLevel="0" max="5" min="5" style="1" width="60"/>
  </cols>
  <sheetData>
    <row r="2" customFormat="false" ht="19.5" hidden="false" customHeight="true" outlineLevel="0" collapsed="false">
      <c r="B2" s="2" t="s">
        <v>50</v>
      </c>
    </row>
    <row r="4" customFormat="false" ht="26.25" hidden="false" customHeight="true" outlineLevel="0" collapsed="false">
      <c r="B4" s="7" t="s">
        <v>51</v>
      </c>
      <c r="C4" s="7" t="s">
        <v>52</v>
      </c>
      <c r="D4" s="7" t="s">
        <v>53</v>
      </c>
      <c r="E4" s="7" t="s">
        <v>54</v>
      </c>
    </row>
    <row r="5" customFormat="false" ht="15" hidden="false" customHeight="true" outlineLevel="0" collapsed="false">
      <c r="B5" s="3" t="s">
        <v>10</v>
      </c>
      <c r="C5" s="13" t="n">
        <v>4500000</v>
      </c>
      <c r="D5" s="5" t="s">
        <v>55</v>
      </c>
      <c r="E5" s="14" t="s">
        <v>56</v>
      </c>
    </row>
    <row r="6" customFormat="false" ht="23.25" hidden="false" customHeight="true" outlineLevel="0" collapsed="false">
      <c r="B6" s="3" t="s">
        <v>12</v>
      </c>
      <c r="C6" s="15" t="n">
        <v>1.1561</v>
      </c>
      <c r="D6" s="5" t="s">
        <v>57</v>
      </c>
      <c r="E6" s="14" t="s">
        <v>58</v>
      </c>
    </row>
    <row r="7" customFormat="false" ht="15" hidden="false" customHeight="true" outlineLevel="0" collapsed="false">
      <c r="B7" s="3" t="s">
        <v>14</v>
      </c>
      <c r="C7" s="15" t="n">
        <v>1.1796</v>
      </c>
      <c r="D7" s="5" t="s">
        <v>57</v>
      </c>
      <c r="E7" s="14" t="s">
        <v>59</v>
      </c>
    </row>
    <row r="8" customFormat="false" ht="15" hidden="false" customHeight="true" outlineLevel="0" collapsed="false">
      <c r="B8" s="3" t="s">
        <v>16</v>
      </c>
      <c r="C8" s="16" t="n">
        <v>0.0406</v>
      </c>
      <c r="D8" s="5" t="s">
        <v>60</v>
      </c>
      <c r="E8" s="14" t="s">
        <v>61</v>
      </c>
    </row>
    <row r="9" customFormat="false" ht="15" hidden="false" customHeight="true" outlineLevel="0" collapsed="false">
      <c r="B9" s="3" t="s">
        <v>18</v>
      </c>
      <c r="C9" s="16" t="n">
        <v>0.0201</v>
      </c>
      <c r="D9" s="5" t="s">
        <v>60</v>
      </c>
      <c r="E9" s="14" t="s">
        <v>62</v>
      </c>
    </row>
    <row r="10" customFormat="false" ht="23.25" hidden="false" customHeight="true" outlineLevel="0" collapsed="false">
      <c r="B10" s="3" t="s">
        <v>41</v>
      </c>
      <c r="C10" s="15" t="n">
        <v>1.1561</v>
      </c>
      <c r="D10" s="5" t="s">
        <v>57</v>
      </c>
      <c r="E10" s="14" t="s">
        <v>63</v>
      </c>
    </row>
    <row r="11" customFormat="false" ht="23.25" hidden="false" customHeight="true" outlineLevel="0" collapsed="false">
      <c r="B11" s="3" t="s">
        <v>43</v>
      </c>
      <c r="C11" s="15" t="n">
        <v>1.1561</v>
      </c>
      <c r="D11" s="5" t="s">
        <v>57</v>
      </c>
      <c r="E11" s="14" t="s">
        <v>63</v>
      </c>
    </row>
    <row r="12" customFormat="false" ht="15" hidden="false" customHeight="true" outlineLevel="0" collapsed="false">
      <c r="B12" s="3" t="s">
        <v>45</v>
      </c>
      <c r="C12" s="15" t="n">
        <v>0.025</v>
      </c>
      <c r="D12" s="5" t="s">
        <v>64</v>
      </c>
      <c r="E12" s="14" t="s">
        <v>65</v>
      </c>
    </row>
    <row r="13" customFormat="false" ht="15" hidden="false" customHeight="true" outlineLevel="0" collapsed="false">
      <c r="B13" s="3" t="s">
        <v>47</v>
      </c>
      <c r="C13" s="15" t="n">
        <v>0.022</v>
      </c>
      <c r="D13" s="5" t="s">
        <v>64</v>
      </c>
      <c r="E13" s="14" t="s">
        <v>65</v>
      </c>
    </row>
    <row r="14" customFormat="false" ht="15" hidden="false" customHeight="true" outlineLevel="0" collapsed="false">
      <c r="B14" s="3" t="s">
        <v>24</v>
      </c>
      <c r="C14" s="17" t="n">
        <v>365</v>
      </c>
      <c r="D14" s="5" t="s">
        <v>66</v>
      </c>
      <c r="E14" s="14" t="s">
        <v>67</v>
      </c>
    </row>
    <row r="17" customFormat="false" ht="15" hidden="false" customHeight="true" outlineLevel="0" collapsed="false">
      <c r="B17" s="18" t="s">
        <v>68</v>
      </c>
      <c r="C17" s="18"/>
      <c r="D17" s="18"/>
      <c r="E17" s="18"/>
    </row>
  </sheetData>
  <mergeCells count="1">
    <mergeCell ref="B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"/>
    <col collapsed="false" customWidth="true" hidden="false" outlineLevel="0" max="3" min="3" style="1" width="45"/>
  </cols>
  <sheetData>
    <row r="2" customFormat="false" ht="19.5" hidden="false" customHeight="true" outlineLevel="0" collapsed="false">
      <c r="B2" s="2" t="s">
        <v>69</v>
      </c>
    </row>
    <row r="4" customFormat="false" ht="15" hidden="false" customHeight="true" outlineLevel="0" collapsed="false">
      <c r="B4" s="3" t="s">
        <v>35</v>
      </c>
      <c r="C4" s="5" t="s">
        <v>70</v>
      </c>
    </row>
    <row r="6" customFormat="false" ht="15" hidden="false" customHeight="true" outlineLevel="0" collapsed="false">
      <c r="B6" s="19" t="s">
        <v>71</v>
      </c>
      <c r="C6" s="20" t="n">
        <f aca="false">FC_AMT*F0_in</f>
        <v>5308200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55"/>
    <col collapsed="false" customWidth="true" hidden="false" outlineLevel="0" max="4" min="4" style="1" width="16"/>
  </cols>
  <sheetData>
    <row r="2" customFormat="false" ht="19.5" hidden="false" customHeight="true" outlineLevel="0" collapsed="false">
      <c r="B2" s="2" t="s">
        <v>72</v>
      </c>
    </row>
    <row r="4" customFormat="false" ht="15" hidden="false" customHeight="true" outlineLevel="0" collapsed="false">
      <c r="B4" s="7" t="s">
        <v>73</v>
      </c>
      <c r="C4" s="7" t="s">
        <v>35</v>
      </c>
      <c r="D4" s="7" t="s">
        <v>52</v>
      </c>
    </row>
    <row r="5" customFormat="false" ht="15" hidden="false" customHeight="true" outlineLevel="0" collapsed="false">
      <c r="B5" s="3" t="s">
        <v>74</v>
      </c>
      <c r="C5" s="5" t="s">
        <v>75</v>
      </c>
      <c r="D5" s="21" t="n">
        <f aca="false">FC_AMT/(1+R_FC*T_DAYS/360)</f>
        <v>4410125.32106121</v>
      </c>
    </row>
    <row r="6" customFormat="false" ht="15" hidden="false" customHeight="true" outlineLevel="0" collapsed="false">
      <c r="B6" s="3" t="s">
        <v>76</v>
      </c>
      <c r="C6" s="5" t="s">
        <v>77</v>
      </c>
      <c r="D6" s="20" t="n">
        <f aca="false">Borrow_FC*S0_in</f>
        <v>5098545.88367886</v>
      </c>
    </row>
    <row r="7" customFormat="false" ht="15" hidden="false" customHeight="true" outlineLevel="0" collapsed="false">
      <c r="B7" s="3" t="s">
        <v>78</v>
      </c>
      <c r="C7" s="5" t="s">
        <v>79</v>
      </c>
      <c r="D7" s="20" t="n">
        <f aca="false">USD_Now*(1+R_USD*T_DAYS/360)</f>
        <v>5308421.85992952</v>
      </c>
    </row>
    <row r="9" customFormat="false" ht="15" hidden="false" customHeight="true" outlineLevel="0" collapsed="false">
      <c r="B9" s="19" t="s">
        <v>80</v>
      </c>
      <c r="D9" s="22" t="n">
        <f aca="false">Proceeds_MM</f>
        <v>5308421.85992952</v>
      </c>
    </row>
    <row r="11" customFormat="false" ht="15" hidden="false" customHeight="true" outlineLevel="0" collapsed="false">
      <c r="B11" s="6" t="s">
        <v>81</v>
      </c>
    </row>
    <row r="12" customFormat="false" ht="15" hidden="false" customHeight="true" outlineLevel="0" collapsed="false">
      <c r="B12" s="3" t="s">
        <v>82</v>
      </c>
      <c r="D12" s="23" t="n">
        <f aca="false">S0_in*(1+R_USD*T_DAYS/360)/(1+R_FC*T_DAYS/360)</f>
        <v>1.17964930220656</v>
      </c>
    </row>
    <row r="13" customFormat="false" ht="15" hidden="false" customHeight="true" outlineLevel="0" collapsed="false">
      <c r="B13" s="3" t="s">
        <v>83</v>
      </c>
      <c r="D13" s="23" t="n">
        <f aca="false">F0_in</f>
        <v>1.1796</v>
      </c>
    </row>
    <row r="14" customFormat="false" ht="15" hidden="false" customHeight="true" outlineLevel="0" collapsed="false">
      <c r="B14" s="19" t="s">
        <v>84</v>
      </c>
      <c r="D14" s="12" t="str">
        <f aca="false">IF(ABS(F_implied-F0_in)&lt;=0.001,"PASS","FAIL")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4" min="3" style="1" width="16"/>
  </cols>
  <sheetData>
    <row r="2" customFormat="false" ht="19.5" hidden="false" customHeight="true" outlineLevel="0" collapsed="false">
      <c r="B2" s="2" t="s">
        <v>85</v>
      </c>
    </row>
    <row r="4" customFormat="false" ht="15" hidden="false" customHeight="true" outlineLevel="0" collapsed="false">
      <c r="B4" s="7" t="s">
        <v>86</v>
      </c>
      <c r="C4" s="7" t="s">
        <v>87</v>
      </c>
      <c r="D4" s="7" t="s">
        <v>88</v>
      </c>
    </row>
    <row r="5" customFormat="false" ht="15" hidden="false" customHeight="true" outlineLevel="0" collapsed="false">
      <c r="B5" s="23" t="n">
        <f aca="false">S0_in*0.95</f>
        <v>1.098295</v>
      </c>
      <c r="C5" s="20" t="n">
        <f aca="false">FC_AMT*MAX(B5,K_PUT)-FC_AMT*PREM_PUT</f>
        <v>5089950</v>
      </c>
      <c r="D5" s="20" t="n">
        <f aca="false">FC_AMT*MIN(B5,K_CALL)-FC_AMT*PREM_CALL</f>
        <v>4843327.5</v>
      </c>
    </row>
    <row r="6" customFormat="false" ht="15" hidden="false" customHeight="true" outlineLevel="0" collapsed="false">
      <c r="B6" s="23" t="n">
        <f aca="false">S0_in*0.96</f>
        <v>1.109856</v>
      </c>
      <c r="C6" s="20" t="n">
        <f aca="false">FC_AMT*MAX(B6,K_PUT)-FC_AMT*PREM_PUT</f>
        <v>5089950</v>
      </c>
      <c r="D6" s="20" t="n">
        <f aca="false">FC_AMT*MIN(B6,K_CALL)-FC_AMT*PREM_CALL</f>
        <v>4895352</v>
      </c>
    </row>
    <row r="7" customFormat="false" ht="15" hidden="false" customHeight="true" outlineLevel="0" collapsed="false">
      <c r="B7" s="23" t="n">
        <f aca="false">S0_in*0.97</f>
        <v>1.121417</v>
      </c>
      <c r="C7" s="20" t="n">
        <f aca="false">FC_AMT*MAX(B7,K_PUT)-FC_AMT*PREM_PUT</f>
        <v>5089950</v>
      </c>
      <c r="D7" s="20" t="n">
        <f aca="false">FC_AMT*MIN(B7,K_CALL)-FC_AMT*PREM_CALL</f>
        <v>4947376.5</v>
      </c>
    </row>
    <row r="8" customFormat="false" ht="15" hidden="false" customHeight="true" outlineLevel="0" collapsed="false">
      <c r="B8" s="23" t="n">
        <f aca="false">S0_in*0.98</f>
        <v>1.132978</v>
      </c>
      <c r="C8" s="20" t="n">
        <f aca="false">FC_AMT*MAX(B8,K_PUT)-FC_AMT*PREM_PUT</f>
        <v>5089950</v>
      </c>
      <c r="D8" s="20" t="n">
        <f aca="false">FC_AMT*MIN(B8,K_CALL)-FC_AMT*PREM_CALL</f>
        <v>4999401</v>
      </c>
    </row>
    <row r="9" customFormat="false" ht="15" hidden="false" customHeight="true" outlineLevel="0" collapsed="false">
      <c r="B9" s="23" t="n">
        <f aca="false">S0_in*0.99</f>
        <v>1.144539</v>
      </c>
      <c r="C9" s="20" t="n">
        <f aca="false">FC_AMT*MAX(B9,K_PUT)-FC_AMT*PREM_PUT</f>
        <v>5089950</v>
      </c>
      <c r="D9" s="20" t="n">
        <f aca="false">FC_AMT*MIN(B9,K_CALL)-FC_AMT*PREM_CALL</f>
        <v>5051425.5</v>
      </c>
    </row>
    <row r="10" customFormat="false" ht="15" hidden="false" customHeight="true" outlineLevel="0" collapsed="false">
      <c r="B10" s="23" t="n">
        <f aca="false">S0_in*1</f>
        <v>1.1561</v>
      </c>
      <c r="C10" s="20" t="n">
        <f aca="false">FC_AMT*MAX(B10,K_PUT)-FC_AMT*PREM_PUT</f>
        <v>5089950</v>
      </c>
      <c r="D10" s="20" t="n">
        <f aca="false">FC_AMT*MIN(B10,K_CALL)-FC_AMT*PREM_CALL</f>
        <v>5103450</v>
      </c>
    </row>
    <row r="11" customFormat="false" ht="15" hidden="false" customHeight="true" outlineLevel="0" collapsed="false">
      <c r="B11" s="23" t="n">
        <f aca="false">S0_in*1.01</f>
        <v>1.167661</v>
      </c>
      <c r="C11" s="20" t="n">
        <f aca="false">FC_AMT*MAX(B11,K_PUT)-FC_AMT*PREM_PUT</f>
        <v>5141974.5</v>
      </c>
      <c r="D11" s="20" t="n">
        <f aca="false">FC_AMT*MIN(B11,K_CALL)-FC_AMT*PREM_CALL</f>
        <v>5103450</v>
      </c>
    </row>
    <row r="12" customFormat="false" ht="15" hidden="false" customHeight="true" outlineLevel="0" collapsed="false">
      <c r="B12" s="23" t="n">
        <f aca="false">S0_in*1.02</f>
        <v>1.179222</v>
      </c>
      <c r="C12" s="20" t="n">
        <f aca="false">FC_AMT*MAX(B12,K_PUT)-FC_AMT*PREM_PUT</f>
        <v>5193999</v>
      </c>
      <c r="D12" s="20" t="n">
        <f aca="false">FC_AMT*MIN(B12,K_CALL)-FC_AMT*PREM_CALL</f>
        <v>5103450</v>
      </c>
    </row>
    <row r="13" customFormat="false" ht="15" hidden="false" customHeight="true" outlineLevel="0" collapsed="false">
      <c r="B13" s="23" t="n">
        <f aca="false">S0_in*1.03</f>
        <v>1.190783</v>
      </c>
      <c r="C13" s="20" t="n">
        <f aca="false">FC_AMT*MAX(B13,K_PUT)-FC_AMT*PREM_PUT</f>
        <v>5246023.5</v>
      </c>
      <c r="D13" s="20" t="n">
        <f aca="false">FC_AMT*MIN(B13,K_CALL)-FC_AMT*PREM_CALL</f>
        <v>5103450</v>
      </c>
    </row>
    <row r="14" customFormat="false" ht="15" hidden="false" customHeight="true" outlineLevel="0" collapsed="false">
      <c r="B14" s="23" t="n">
        <f aca="false">S0_in*1.04</f>
        <v>1.202344</v>
      </c>
      <c r="C14" s="20" t="n">
        <f aca="false">FC_AMT*MAX(B14,K_PUT)-FC_AMT*PREM_PUT</f>
        <v>5298048</v>
      </c>
      <c r="D14" s="20" t="n">
        <f aca="false">FC_AMT*MIN(B14,K_CALL)-FC_AMT*PREM_CALL</f>
        <v>5103450</v>
      </c>
    </row>
    <row r="15" customFormat="false" ht="15" hidden="false" customHeight="true" outlineLevel="0" collapsed="false">
      <c r="B15" s="23" t="n">
        <f aca="false">S0_in*1.05</f>
        <v>1.213905</v>
      </c>
      <c r="C15" s="20" t="n">
        <f aca="false">FC_AMT*MAX(B15,K_PUT)-FC_AMT*PREM_PUT</f>
        <v>5350072.5</v>
      </c>
      <c r="D15" s="20" t="n">
        <f aca="false">FC_AMT*MIN(B15,K_CALL)-FC_AMT*PREM_CALL</f>
        <v>5103450</v>
      </c>
    </row>
    <row r="17" customFormat="false" ht="23.25" hidden="false" customHeight="true" outlineLevel="0" collapsed="false">
      <c r="B17" s="24" t="s">
        <v>89</v>
      </c>
      <c r="C17" s="24"/>
      <c r="D17" s="24"/>
    </row>
  </sheetData>
  <mergeCells count="1">
    <mergeCell ref="B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3" min="2" style="1" width="12"/>
    <col collapsed="false" customWidth="true" hidden="false" outlineLevel="0" max="4" min="4" style="1" width="18"/>
    <col collapsed="false" customWidth="true" hidden="false" outlineLevel="0" max="6" min="5" style="1" width="16"/>
  </cols>
  <sheetData>
    <row r="2" customFormat="false" ht="19.5" hidden="false" customHeight="true" outlineLevel="0" collapsed="false">
      <c r="B2" s="2" t="s">
        <v>90</v>
      </c>
    </row>
    <row r="4" customFormat="false" ht="26.25" hidden="false" customHeight="true" outlineLevel="0" collapsed="false">
      <c r="B4" s="7" t="s">
        <v>91</v>
      </c>
      <c r="C4" s="7" t="s">
        <v>92</v>
      </c>
      <c r="D4" s="7" t="s">
        <v>71</v>
      </c>
      <c r="E4" s="7" t="s">
        <v>80</v>
      </c>
      <c r="F4" s="7" t="s">
        <v>87</v>
      </c>
    </row>
    <row r="5" customFormat="false" ht="15" hidden="false" customHeight="true" outlineLevel="0" collapsed="false">
      <c r="B5" s="25" t="n">
        <v>-0.05</v>
      </c>
      <c r="C5" s="23" t="n">
        <f aca="false">S0_in*(1+B5)</f>
        <v>1.098295</v>
      </c>
      <c r="D5" s="20" t="n">
        <f aca="false">Proceeds_Forward</f>
        <v>5308200</v>
      </c>
      <c r="E5" s="20" t="n">
        <f aca="false">Proceeds_MM</f>
        <v>5308421.85992952</v>
      </c>
      <c r="F5" s="20" t="n">
        <f aca="false">FC_AMT*MAX(C5,K_PUT)-FC_AMT*PREM_PUT</f>
        <v>5089950</v>
      </c>
    </row>
    <row r="6" customFormat="false" ht="15" hidden="false" customHeight="true" outlineLevel="0" collapsed="false">
      <c r="B6" s="25" t="n">
        <v>-0.04</v>
      </c>
      <c r="C6" s="23" t="n">
        <f aca="false">S0_in*(1+B6)</f>
        <v>1.109856</v>
      </c>
      <c r="D6" s="20" t="n">
        <f aca="false">Proceeds_Forward</f>
        <v>5308200</v>
      </c>
      <c r="E6" s="20" t="n">
        <f aca="false">Proceeds_MM</f>
        <v>5308421.85992952</v>
      </c>
      <c r="F6" s="20" t="n">
        <f aca="false">FC_AMT*MAX(C6,K_PUT)-FC_AMT*PREM_PUT</f>
        <v>5089950</v>
      </c>
    </row>
    <row r="7" customFormat="false" ht="15" hidden="false" customHeight="true" outlineLevel="0" collapsed="false">
      <c r="B7" s="25" t="n">
        <v>-0.03</v>
      </c>
      <c r="C7" s="23" t="n">
        <f aca="false">S0_in*(1+B7)</f>
        <v>1.121417</v>
      </c>
      <c r="D7" s="20" t="n">
        <f aca="false">Proceeds_Forward</f>
        <v>5308200</v>
      </c>
      <c r="E7" s="20" t="n">
        <f aca="false">Proceeds_MM</f>
        <v>5308421.85992952</v>
      </c>
      <c r="F7" s="20" t="n">
        <f aca="false">FC_AMT*MAX(C7,K_PUT)-FC_AMT*PREM_PUT</f>
        <v>5089950</v>
      </c>
    </row>
    <row r="8" customFormat="false" ht="15" hidden="false" customHeight="true" outlineLevel="0" collapsed="false">
      <c r="B8" s="25" t="n">
        <v>-0.02</v>
      </c>
      <c r="C8" s="23" t="n">
        <f aca="false">S0_in*(1+B8)</f>
        <v>1.132978</v>
      </c>
      <c r="D8" s="20" t="n">
        <f aca="false">Proceeds_Forward</f>
        <v>5308200</v>
      </c>
      <c r="E8" s="20" t="n">
        <f aca="false">Proceeds_MM</f>
        <v>5308421.85992952</v>
      </c>
      <c r="F8" s="20" t="n">
        <f aca="false">FC_AMT*MAX(C8,K_PUT)-FC_AMT*PREM_PUT</f>
        <v>5089950</v>
      </c>
    </row>
    <row r="9" customFormat="false" ht="15" hidden="false" customHeight="true" outlineLevel="0" collapsed="false">
      <c r="B9" s="25" t="n">
        <v>-0.01</v>
      </c>
      <c r="C9" s="23" t="n">
        <f aca="false">S0_in*(1+B9)</f>
        <v>1.144539</v>
      </c>
      <c r="D9" s="20" t="n">
        <f aca="false">Proceeds_Forward</f>
        <v>5308200</v>
      </c>
      <c r="E9" s="20" t="n">
        <f aca="false">Proceeds_MM</f>
        <v>5308421.85992952</v>
      </c>
      <c r="F9" s="20" t="n">
        <f aca="false">FC_AMT*MAX(C9,K_PUT)-FC_AMT*PREM_PUT</f>
        <v>5089950</v>
      </c>
    </row>
    <row r="10" customFormat="false" ht="15" hidden="false" customHeight="true" outlineLevel="0" collapsed="false">
      <c r="B10" s="25" t="n">
        <v>0</v>
      </c>
      <c r="C10" s="23" t="n">
        <f aca="false">S0_in*(1+B10)</f>
        <v>1.1561</v>
      </c>
      <c r="D10" s="20" t="n">
        <f aca="false">Proceeds_Forward</f>
        <v>5308200</v>
      </c>
      <c r="E10" s="20" t="n">
        <f aca="false">Proceeds_MM</f>
        <v>5308421.85992952</v>
      </c>
      <c r="F10" s="20" t="n">
        <f aca="false">FC_AMT*MAX(C10,K_PUT)-FC_AMT*PREM_PUT</f>
        <v>5089950</v>
      </c>
    </row>
    <row r="11" customFormat="false" ht="15" hidden="false" customHeight="true" outlineLevel="0" collapsed="false">
      <c r="B11" s="25" t="n">
        <v>0.01</v>
      </c>
      <c r="C11" s="23" t="n">
        <f aca="false">S0_in*(1+B11)</f>
        <v>1.167661</v>
      </c>
      <c r="D11" s="20" t="n">
        <f aca="false">Proceeds_Forward</f>
        <v>5308200</v>
      </c>
      <c r="E11" s="20" t="n">
        <f aca="false">Proceeds_MM</f>
        <v>5308421.85992952</v>
      </c>
      <c r="F11" s="20" t="n">
        <f aca="false">FC_AMT*MAX(C11,K_PUT)-FC_AMT*PREM_PUT</f>
        <v>5141974.5</v>
      </c>
    </row>
    <row r="12" customFormat="false" ht="15" hidden="false" customHeight="true" outlineLevel="0" collapsed="false">
      <c r="B12" s="25" t="n">
        <v>0.02</v>
      </c>
      <c r="C12" s="23" t="n">
        <f aca="false">S0_in*(1+B12)</f>
        <v>1.179222</v>
      </c>
      <c r="D12" s="20" t="n">
        <f aca="false">Proceeds_Forward</f>
        <v>5308200</v>
      </c>
      <c r="E12" s="20" t="n">
        <f aca="false">Proceeds_MM</f>
        <v>5308421.85992952</v>
      </c>
      <c r="F12" s="20" t="n">
        <f aca="false">FC_AMT*MAX(C12,K_PUT)-FC_AMT*PREM_PUT</f>
        <v>5193999</v>
      </c>
    </row>
    <row r="13" customFormat="false" ht="15" hidden="false" customHeight="true" outlineLevel="0" collapsed="false">
      <c r="B13" s="25" t="n">
        <v>0.03</v>
      </c>
      <c r="C13" s="23" t="n">
        <f aca="false">S0_in*(1+B13)</f>
        <v>1.190783</v>
      </c>
      <c r="D13" s="20" t="n">
        <f aca="false">Proceeds_Forward</f>
        <v>5308200</v>
      </c>
      <c r="E13" s="20" t="n">
        <f aca="false">Proceeds_MM</f>
        <v>5308421.85992952</v>
      </c>
      <c r="F13" s="20" t="n">
        <f aca="false">FC_AMT*MAX(C13,K_PUT)-FC_AMT*PREM_PUT</f>
        <v>5246023.5</v>
      </c>
    </row>
    <row r="14" customFormat="false" ht="15" hidden="false" customHeight="true" outlineLevel="0" collapsed="false">
      <c r="B14" s="25" t="n">
        <v>0.04</v>
      </c>
      <c r="C14" s="23" t="n">
        <f aca="false">S0_in*(1+B14)</f>
        <v>1.202344</v>
      </c>
      <c r="D14" s="20" t="n">
        <f aca="false">Proceeds_Forward</f>
        <v>5308200</v>
      </c>
      <c r="E14" s="20" t="n">
        <f aca="false">Proceeds_MM</f>
        <v>5308421.85992952</v>
      </c>
      <c r="F14" s="20" t="n">
        <f aca="false">FC_AMT*MAX(C14,K_PUT)-FC_AMT*PREM_PUT</f>
        <v>5298048</v>
      </c>
    </row>
    <row r="15" customFormat="false" ht="15" hidden="false" customHeight="true" outlineLevel="0" collapsed="false">
      <c r="B15" s="25" t="n">
        <v>0.05</v>
      </c>
      <c r="C15" s="23" t="n">
        <f aca="false">S0_in*(1+B15)</f>
        <v>1.213905</v>
      </c>
      <c r="D15" s="20" t="n">
        <f aca="false">Proceeds_Forward</f>
        <v>5308200</v>
      </c>
      <c r="E15" s="20" t="n">
        <f aca="false">Proceeds_MM</f>
        <v>5308421.85992952</v>
      </c>
      <c r="F15" s="20" t="n">
        <f aca="false">FC_AMT*MAX(C15,K_PUT)-FC_AMT*PREM_PUT</f>
        <v>5350072.5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3" min="3" style="1" width="55"/>
    <col collapsed="false" customWidth="true" hidden="false" outlineLevel="0" max="4" min="4" style="1" width="30"/>
  </cols>
  <sheetData>
    <row r="2" customFormat="false" ht="19.5" hidden="false" customHeight="true" outlineLevel="0" collapsed="false">
      <c r="B2" s="2" t="s">
        <v>93</v>
      </c>
    </row>
    <row r="4" customFormat="false" ht="45" hidden="false" customHeight="true" outlineLevel="0" collapsed="false">
      <c r="B4" s="26" t="s">
        <v>94</v>
      </c>
      <c r="C4" s="27" t="s">
        <v>95</v>
      </c>
    </row>
    <row r="5" customFormat="false" ht="45" hidden="false" customHeight="true" outlineLevel="0" collapsed="false">
      <c r="B5" s="26" t="s">
        <v>96</v>
      </c>
      <c r="C5" s="27" t="s">
        <v>97</v>
      </c>
    </row>
    <row r="6" customFormat="false" ht="45" hidden="false" customHeight="true" outlineLevel="0" collapsed="false">
      <c r="B6" s="26" t="s">
        <v>98</v>
      </c>
      <c r="C6" s="27" t="s">
        <v>99</v>
      </c>
    </row>
    <row r="7" customFormat="false" ht="45" hidden="false" customHeight="true" outlineLevel="0" collapsed="false">
      <c r="B7" s="26" t="s">
        <v>100</v>
      </c>
      <c r="C7" s="27" t="s">
        <v>101</v>
      </c>
    </row>
    <row r="9" customFormat="false" ht="15" hidden="false" customHeight="true" outlineLevel="0" collapsed="false">
      <c r="B9" s="6" t="s">
        <v>102</v>
      </c>
    </row>
    <row r="10" customFormat="false" ht="15" hidden="false" customHeight="true" outlineLevel="0" collapsed="false">
      <c r="B10" s="3" t="s">
        <v>103</v>
      </c>
      <c r="C10" s="3" t="s">
        <v>104</v>
      </c>
      <c r="D10" s="3" t="s">
        <v>105</v>
      </c>
    </row>
    <row r="11" customFormat="false" ht="15" hidden="false" customHeight="true" outlineLevel="0" collapsed="false">
      <c r="B11" s="5" t="s">
        <v>106</v>
      </c>
      <c r="C11" s="5" t="s">
        <v>107</v>
      </c>
      <c r="D11" s="28" t="str">
        <f aca="false">'Money Market'!D14</f>
        <v>PASS</v>
      </c>
    </row>
    <row r="12" customFormat="false" ht="15" hidden="false" customHeight="true" outlineLevel="0" collapsed="false">
      <c r="B12" s="5" t="s">
        <v>108</v>
      </c>
      <c r="C12" s="5" t="s">
        <v>109</v>
      </c>
      <c r="D12" s="28" t="s">
        <v>110</v>
      </c>
    </row>
    <row r="13" customFormat="false" ht="15" hidden="false" customHeight="true" outlineLevel="0" collapsed="false">
      <c r="B13" s="5" t="s">
        <v>111</v>
      </c>
      <c r="C13" s="5" t="s">
        <v>112</v>
      </c>
      <c r="D13" s="28" t="s">
        <v>113</v>
      </c>
    </row>
    <row r="14" customFormat="false" ht="15" hidden="false" customHeight="true" outlineLevel="0" collapsed="false">
      <c r="B14" s="5" t="s">
        <v>114</v>
      </c>
      <c r="C14" s="5" t="s">
        <v>115</v>
      </c>
      <c r="D14" s="28" t="s">
        <v>116</v>
      </c>
    </row>
    <row r="15" customFormat="false" ht="15" hidden="false" customHeight="true" outlineLevel="0" collapsed="false">
      <c r="B15" s="5" t="s">
        <v>117</v>
      </c>
      <c r="C15" s="5" t="s">
        <v>118</v>
      </c>
      <c r="D15" s="28" t="s">
        <v>119</v>
      </c>
    </row>
    <row r="16" customFormat="false" ht="15" hidden="false" customHeight="true" outlineLevel="0" collapsed="false">
      <c r="B16" s="5" t="s">
        <v>120</v>
      </c>
      <c r="C16" s="5" t="s">
        <v>121</v>
      </c>
      <c r="D16" s="28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2026-08-08T10:08:04Z</dcterms:created>
  <dc:creator>openpyxl</dc:creator>
  <dc:description/>
  <dc:language>en-US</dc:language>
  <cp:lastModifiedBy/>
  <dcterms:modified xsi:type="dcterms:W3CDTF">2026-08-15T03:15:59Z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